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77be4b2bf8f6db1/Documents/"/>
    </mc:Choice>
  </mc:AlternateContent>
  <xr:revisionPtr revIDLastSave="0" documentId="8_{10D5E218-5F7D-491F-919C-C8DB1F8CEE6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Overview" sheetId="1" r:id="rId1"/>
    <sheet name="JML Lifecycle Process" sheetId="2" r:id="rId2"/>
    <sheet name="Access Review Tracker" sheetId="3" r:id="rId3"/>
    <sheet name="Least-Privilege Access Matrix" sheetId="4" r:id="rId4"/>
    <sheet name="SoD Conflict Matrix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" i="3" l="1"/>
  <c r="B19" i="3"/>
  <c r="B18" i="3"/>
</calcChain>
</file>

<file path=xl/sharedStrings.xml><?xml version="1.0" encoding="utf-8"?>
<sst xmlns="http://schemas.openxmlformats.org/spreadsheetml/2006/main" count="305" uniqueCount="193">
  <si>
    <t>Meridian Health Partners — IAM Access Governance Package</t>
  </si>
  <si>
    <t>Identity &amp; Access Management Governance Framework | Prepared by Saleh Abdu</t>
  </si>
  <si>
    <t>Purpose</t>
  </si>
  <si>
    <t>Demonstrates an end-to-end IAM access governance framework for a fictional 500-bed healthcare system, covering the full identity lifecycle, periodic access certification, least-privilege role mapping, and segregation-of-duties controls.</t>
  </si>
  <si>
    <t>Scope</t>
  </si>
  <si>
    <t>Covers on-prem Active Directory, Azure AD, EHR clinical application access, and the patient portal SaaS platform.</t>
  </si>
  <si>
    <t>Frameworks referenced</t>
  </si>
  <si>
    <t>NIST 800-53 (AC family), HIPAA Security Rule (Access Control 164.312(a)), ISO 27001 Annex A.9</t>
  </si>
  <si>
    <t>Sheets in this workbook</t>
  </si>
  <si>
    <t>1) Overview  2) JML Lifecycle Process  3) Access Review Tracker  4) Least-Privilege Access Matrix  5) SoD Conflict Matrix</t>
  </si>
  <si>
    <t>Author note</t>
  </si>
  <si>
    <t>Built to demonstrate practical IAM governance documentation skills, informed by hands-on SailPoint IdentityIQ provisioning, JML lifecycle, and access certification experience.</t>
  </si>
  <si>
    <t>Joiner-Mover-Leaver (JML) Lifecycle Process</t>
  </si>
  <si>
    <t>Defines standard access lifecycle steps, owners, SLAs, and controls</t>
  </si>
  <si>
    <t>Stage</t>
  </si>
  <si>
    <t>Trigger Event</t>
  </si>
  <si>
    <t>Action Required</t>
  </si>
  <si>
    <t>Responsible Party</t>
  </si>
  <si>
    <t>SLA (Business Days)</t>
  </si>
  <si>
    <t>System(s)</t>
  </si>
  <si>
    <t>Control / Evidence</t>
  </si>
  <si>
    <t>Joiner</t>
  </si>
  <si>
    <t>New hire start date confirmed by HR (HRIS record created)</t>
  </si>
  <si>
    <t>Create AD/Azure AD account; provision baseline access per role profile (least privilege); assign to correct OU/security groups</t>
  </si>
  <si>
    <t>IT Service Desk + Hiring Manager approval</t>
  </si>
  <si>
    <t>1</t>
  </si>
  <si>
    <t>Active Directory, Azure AD, EHR</t>
  </si>
  <si>
    <t>Provisioning ticket + manager approval recorded in ITSM</t>
  </si>
  <si>
    <t>Role-based access requested beyond baseline (e.g., clinical system access)</t>
  </si>
  <si>
    <t>Manager submits access request; IAM team validates against role matrix; SoD check performed</t>
  </si>
  <si>
    <t>IAM Analyst</t>
  </si>
  <si>
    <t>2</t>
  </si>
  <si>
    <t>EHR, Patient Portal Admin</t>
  </si>
  <si>
    <t>Access request form + SoD validation log</t>
  </si>
  <si>
    <t>Mover</t>
  </si>
  <si>
    <t>Employee transfer / promotion / department change in HRIS</t>
  </si>
  <si>
    <t>Review existing access; revoke access no longer required; provision new role-based access; re-validate SoD</t>
  </si>
  <si>
    <t>IAM Analyst + new Manager approval</t>
  </si>
  <si>
    <t>3</t>
  </si>
  <si>
    <t>AD, Azure AD, EHR</t>
  </si>
  <si>
    <t>Access change ticket + before/after access snapshot</t>
  </si>
  <si>
    <t>Temporary elevated access needed (e.g., project, on-call)</t>
  </si>
  <si>
    <t>Time-bound access grant with auto-expiration date set</t>
  </si>
  <si>
    <t>AD, Azure AD</t>
  </si>
  <si>
    <t>Time-bound access ticket with expiration field</t>
  </si>
  <si>
    <t>Leaver</t>
  </si>
  <si>
    <t>Termination notice received from HR (voluntary)</t>
  </si>
  <si>
    <t>Disable account at end of last working day; revoke all system access; transfer/archive data ownership</t>
  </si>
  <si>
    <t>IT Service Desk (HR-triggered workflow)</t>
  </si>
  <si>
    <t>Same day</t>
  </si>
  <si>
    <t>All systems</t>
  </si>
  <si>
    <t>Termination checklist signed off by HR + IT</t>
  </si>
  <si>
    <t>Involuntary termination / immediate risk</t>
  </si>
  <si>
    <t>Immediate account disable and access revocation upon HR/Security notification</t>
  </si>
  <si>
    <t>Security Team + IT Service Desk</t>
  </si>
  <si>
    <t>Immediate (within 1 hour)</t>
  </si>
  <si>
    <t>Emergency revocation log with timestamp</t>
  </si>
  <si>
    <t>Leave of absence &gt; 30 days</t>
  </si>
  <si>
    <t>Suspend (not delete) account; reassess access on return</t>
  </si>
  <si>
    <t>Suspension ticket + reactivation review</t>
  </si>
  <si>
    <t>Periodic</t>
  </si>
  <si>
    <t>Quarterly access recertification cycle begins</t>
  </si>
  <si>
    <t>Manager reviews direct reports' access; confirms or revokes; SoD re-validated</t>
  </si>
  <si>
    <t>Manager + IAM Analyst (oversight)</t>
  </si>
  <si>
    <t>10</t>
  </si>
  <si>
    <t>Signed access certification report (see Access Review Tracker tab)</t>
  </si>
  <si>
    <t>Quarterly User Access Review / Certification Tracker</t>
  </si>
  <si>
    <t>Q2 2026 Certification Cycle — Manager sign-off required for all entries</t>
  </si>
  <si>
    <t>User ID</t>
  </si>
  <si>
    <t>User Name</t>
  </si>
  <si>
    <t>Department</t>
  </si>
  <si>
    <t>System / Application</t>
  </si>
  <si>
    <t>Access Level / Role</t>
  </si>
  <si>
    <t>Last Reviewed</t>
  </si>
  <si>
    <t>Still Required?</t>
  </si>
  <si>
    <t>Reviewer Decision</t>
  </si>
  <si>
    <t>Reviewed By</t>
  </si>
  <si>
    <t>Notes / Justification</t>
  </si>
  <si>
    <t>U10231</t>
  </si>
  <si>
    <t>J. Alvarez</t>
  </si>
  <si>
    <t>Clinical Ops</t>
  </si>
  <si>
    <t>EHR - Clinician Module</t>
  </si>
  <si>
    <t>Standard Clinician</t>
  </si>
  <si>
    <t>2026-03-15</t>
  </si>
  <si>
    <t>Yes</t>
  </si>
  <si>
    <t>Certified</t>
  </si>
  <si>
    <t>M. Reyes (Mgr)</t>
  </si>
  <si>
    <t>Active clinician, access matches role</t>
  </si>
  <si>
    <t>U10232</t>
  </si>
  <si>
    <t>T. Nguyen</t>
  </si>
  <si>
    <t>IT</t>
  </si>
  <si>
    <t>Active Directory - Domain Admin</t>
  </si>
  <si>
    <t>Privileged Admin</t>
  </si>
  <si>
    <t>S. Patel (Mgr)</t>
  </si>
  <si>
    <t>Required for infrastructure support; SoD reviewed</t>
  </si>
  <si>
    <t>U10233</t>
  </si>
  <si>
    <t>R. Chen</t>
  </si>
  <si>
    <t>Finance</t>
  </si>
  <si>
    <t>EHR - Billing Module</t>
  </si>
  <si>
    <t>Billing Specialist</t>
  </si>
  <si>
    <t>No</t>
  </si>
  <si>
    <t>Revoke</t>
  </si>
  <si>
    <t>L. Brooks (Mgr)</t>
  </si>
  <si>
    <t>Transferred to AP team 02/2026; billing access no longer needed</t>
  </si>
  <si>
    <t>U10234</t>
  </si>
  <si>
    <t>K. Osei</t>
  </si>
  <si>
    <t>Patient Portal Admin</t>
  </si>
  <si>
    <t>Portal Administrator</t>
  </si>
  <si>
    <t>Confirmed active in role</t>
  </si>
  <si>
    <t>U10235</t>
  </si>
  <si>
    <t>D. Park</t>
  </si>
  <si>
    <t>IT staff incorrectly granted clinical access during provisioning; flagged as SoD risk</t>
  </si>
  <si>
    <t>U10236</t>
  </si>
  <si>
    <t>A. Whitfield</t>
  </si>
  <si>
    <t>HR</t>
  </si>
  <si>
    <t>Active Directory - HR Security Group</t>
  </si>
  <si>
    <t>HR Generalist</t>
  </si>
  <si>
    <t>J. Coleman (Mgr)</t>
  </si>
  <si>
    <t>Standard access for role</t>
  </si>
  <si>
    <t>U10237</t>
  </si>
  <si>
    <t>M. Delgado</t>
  </si>
  <si>
    <t>Billing Supervisor</t>
  </si>
  <si>
    <t>Access matches current role; SoD reviewed, no conflicts</t>
  </si>
  <si>
    <t>U10238</t>
  </si>
  <si>
    <t>C. Ibrahim</t>
  </si>
  <si>
    <t>Azure AD - Global Admin</t>
  </si>
  <si>
    <t>Revoke - Excessive</t>
  </si>
  <si>
    <t>Orphaned elevated access from prior project; no business justification found</t>
  </si>
  <si>
    <t>U10239</t>
  </si>
  <si>
    <t>E. Sato</t>
  </si>
  <si>
    <t>U10240</t>
  </si>
  <si>
    <t>F. Romero</t>
  </si>
  <si>
    <t>Access matches current role</t>
  </si>
  <si>
    <t>Summary</t>
  </si>
  <si>
    <t>Total Access Reviewed:</t>
  </si>
  <si>
    <t>Certified (No Change):</t>
  </si>
  <si>
    <t>Flagged for Revocation:</t>
  </si>
  <si>
    <t>Role-Based Least-Privilege Access Matrix</t>
  </si>
  <si>
    <t>Maps job roles to minimum required system entitlements</t>
  </si>
  <si>
    <t>Role</t>
  </si>
  <si>
    <t>AD Domain Access</t>
  </si>
  <si>
    <t>EHR Clinician Module</t>
  </si>
  <si>
    <t>EHR Billing Module</t>
  </si>
  <si>
    <t>Azure AD Admin</t>
  </si>
  <si>
    <t>Finance System</t>
  </si>
  <si>
    <t>Notes</t>
  </si>
  <si>
    <t>Clinician</t>
  </si>
  <si>
    <t>Standard User</t>
  </si>
  <si>
    <t>Read/Write</t>
  </si>
  <si>
    <t>None</t>
  </si>
  <si>
    <t>Baseline clinical role</t>
  </si>
  <si>
    <t>Clinical Supervisor</t>
  </si>
  <si>
    <t>Read</t>
  </si>
  <si>
    <t>Adds portal read for patient oversight</t>
  </si>
  <si>
    <t>No clinical access — SoD enforced</t>
  </si>
  <si>
    <t>Read/Write/Approve</t>
  </si>
  <si>
    <t>Approval rights for billing only</t>
  </si>
  <si>
    <t>IT Support Analyst</t>
  </si>
  <si>
    <t>Read (Tier 1)</t>
  </si>
  <si>
    <t>No clinical or billing access — SoD enforced</t>
  </si>
  <si>
    <t>IT/IAM Administrator</t>
  </si>
  <si>
    <t>Domain Admin</t>
  </si>
  <si>
    <t>Admin</t>
  </si>
  <si>
    <t>Privileged role — quarterly review required, MFA enforced</t>
  </si>
  <si>
    <t>HR Security Group</t>
  </si>
  <si>
    <t>Access limited to HRIS, not in this matrix</t>
  </si>
  <si>
    <t>No clinical/billing access — SoD enforced</t>
  </si>
  <si>
    <t>Segregation-of-Duties (SoD) Conflict Matrix</t>
  </si>
  <si>
    <t>Identifies access combinations that create unacceptable risk if held by one user</t>
  </si>
  <si>
    <t>Access A</t>
  </si>
  <si>
    <t>Access B</t>
  </si>
  <si>
    <t>Conflict?</t>
  </si>
  <si>
    <t>Risk Description</t>
  </si>
  <si>
    <t>Mitigating Control</t>
  </si>
  <si>
    <t>Severity</t>
  </si>
  <si>
    <t>EHR Billing Module - Write</t>
  </si>
  <si>
    <t>EHR Billing Module - Approve</t>
  </si>
  <si>
    <t>Same user could create and approve their own billing transactions, enabling fraud</t>
  </si>
  <si>
    <t>Approval role restricted to Billing Supervisor tier; quarterly audit of approver vs. preparer logs</t>
  </si>
  <si>
    <t>High</t>
  </si>
  <si>
    <t>IT staff with clinical data access creates unnecessary PHI exposure beyond job function</t>
  </si>
  <si>
    <t>Access matrix enforces exclusion; flagged automatically in access reviews (see U10235 example)</t>
  </si>
  <si>
    <t>Azure AD Global Admin</t>
  </si>
  <si>
    <t>Single user could both manage identities and directly access/alter patient-facing data</t>
  </si>
  <si>
    <t>Role split required; privileged access requires dual sign-off for provisioning</t>
  </si>
  <si>
    <t>Finance System - Write</t>
  </si>
  <si>
    <t>Standard billing role requires limited finance read access; not a conflict at this tier</t>
  </si>
  <si>
    <t>Standard least-privilege provisioning; reviewed quarterly</t>
  </si>
  <si>
    <t>Low</t>
  </si>
  <si>
    <t>Any Standard User Application Access</t>
  </si>
  <si>
    <t>Privileged admin accounts should not also hold standard day-to-day application access (increases attack surface)</t>
  </si>
  <si>
    <t>Separate standard user account required for non-admin tasks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</si>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</sst>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color rgb="FF595959"/>
      <name val="Arial"/>
      <charset val="1"/>
    </font>
    <font>
      <b/>
      <sz val="11"/>
      <name val="Arial"/>
      <charset val="1"/>
    </font>
    <font>
      <b/>
      <sz val="11"/>
      <color rgb="FFFFFFFF"/>
      <name val="Arial"/>
      <charset val="1"/>
    </font>
    <font>
      <b/>
      <sz val="12"/>
      <color rgb="FF1F3864"/>
      <name val="Arial"/>
      <charset val="1"/>
    </font>
    <font>
      <b/>
      <sz val="1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D9E2F3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C6E0B4"/>
        <bgColor rgb="FFD9E2F3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/>
    <xf numFmtId="0" fontId="0" fillId="3" borderId="1" xfId="0" applyFill="1" applyBorder="1" applyAlignment="1">
      <alignment vertical="top" wrapText="1"/>
    </xf>
    <xf numFmtId="0" fontId="0" fillId="0" borderId="1" xfId="0" applyBorder="1"/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5" fillId="0" borderId="0" xfId="0" applyFont="1"/>
    <xf numFmtId="0" fontId="6" fillId="0" borderId="0" xfId="0" applyFont="1"/>
    <xf numFmtId="0" fontId="0" fillId="0" borderId="1" xfId="0" applyBorder="1" applyAlignment="1">
      <alignment horizontal="left" vertical="top" wrapText="1"/>
    </xf>
    <xf numFmtId="0" fontId="0" fillId="5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zoomScaleNormal="100" workbookViewId="0">
      <selection sqref="A1:F1"/>
    </sheetView>
  </sheetViews>
  <sheetFormatPr defaultColWidth="8.6640625" defaultRowHeight="14.4" x14ac:dyDescent="0.3"/>
  <cols>
    <col min="1" max="1" width="28" customWidth="1"/>
    <col min="2" max="2" width="90" customWidth="1"/>
  </cols>
  <sheetData>
    <row r="1" spans="1:6" ht="25.5" customHeight="1" x14ac:dyDescent="0.4">
      <c r="A1" s="2" t="s">
        <v>0</v>
      </c>
      <c r="B1" s="2"/>
      <c r="C1" s="2"/>
      <c r="D1" s="2"/>
      <c r="E1" s="2"/>
      <c r="F1" s="2"/>
    </row>
    <row r="2" spans="1:6" ht="18" customHeight="1" x14ac:dyDescent="0.3">
      <c r="A2" s="1" t="s">
        <v>1</v>
      </c>
      <c r="B2" s="1"/>
      <c r="C2" s="1"/>
      <c r="D2" s="1"/>
      <c r="E2" s="1"/>
      <c r="F2" s="1"/>
    </row>
    <row r="4" spans="1:6" ht="49.5" customHeight="1" x14ac:dyDescent="0.3">
      <c r="A4" s="3" t="s">
        <v>2</v>
      </c>
      <c r="B4" s="4" t="s">
        <v>3</v>
      </c>
    </row>
    <row r="5" spans="1:6" x14ac:dyDescent="0.3">
      <c r="A5" s="5"/>
      <c r="B5" s="5"/>
    </row>
    <row r="6" spans="1:6" ht="49.5" customHeight="1" x14ac:dyDescent="0.3">
      <c r="A6" s="3" t="s">
        <v>4</v>
      </c>
      <c r="B6" s="4" t="s">
        <v>5</v>
      </c>
    </row>
    <row r="7" spans="1:6" x14ac:dyDescent="0.3">
      <c r="A7" s="5"/>
      <c r="B7" s="5"/>
    </row>
    <row r="8" spans="1:6" ht="49.5" customHeight="1" x14ac:dyDescent="0.3">
      <c r="A8" s="3" t="s">
        <v>6</v>
      </c>
      <c r="B8" s="4" t="s">
        <v>7</v>
      </c>
    </row>
    <row r="9" spans="1:6" x14ac:dyDescent="0.3">
      <c r="A9" s="5"/>
      <c r="B9" s="5"/>
    </row>
    <row r="10" spans="1:6" ht="49.5" customHeight="1" x14ac:dyDescent="0.3">
      <c r="A10" s="3" t="s">
        <v>8</v>
      </c>
      <c r="B10" s="4" t="s">
        <v>9</v>
      </c>
    </row>
    <row r="11" spans="1:6" x14ac:dyDescent="0.3">
      <c r="A11" s="5"/>
      <c r="B11" s="5"/>
    </row>
    <row r="12" spans="1:6" ht="49.5" customHeight="1" x14ac:dyDescent="0.3">
      <c r="A12" s="3" t="s">
        <v>10</v>
      </c>
      <c r="B12" s="4" t="s">
        <v>11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zoomScaleNormal="100" workbookViewId="0">
      <pane ySplit="4" topLeftCell="A6" activePane="bottomLeft" state="frozen"/>
      <selection pane="bottomLeft" sqref="A1:G1"/>
    </sheetView>
  </sheetViews>
  <sheetFormatPr defaultColWidth="8.6640625" defaultRowHeight="14.4" x14ac:dyDescent="0.3"/>
  <cols>
    <col min="1" max="1" width="14" customWidth="1"/>
    <col min="2" max="2" width="30" customWidth="1"/>
    <col min="3" max="3" width="38" customWidth="1"/>
    <col min="4" max="4" width="22" customWidth="1"/>
    <col min="5" max="6" width="14" customWidth="1"/>
    <col min="7" max="7" width="30" customWidth="1"/>
  </cols>
  <sheetData>
    <row r="1" spans="1:7" ht="25.5" customHeight="1" x14ac:dyDescent="0.4">
      <c r="A1" s="2" t="s">
        <v>12</v>
      </c>
      <c r="B1" s="2"/>
      <c r="C1" s="2"/>
      <c r="D1" s="2"/>
      <c r="E1" s="2"/>
      <c r="F1" s="2"/>
      <c r="G1" s="2"/>
    </row>
    <row r="2" spans="1:7" ht="18" customHeight="1" x14ac:dyDescent="0.3">
      <c r="A2" s="1" t="s">
        <v>13</v>
      </c>
      <c r="B2" s="1"/>
      <c r="C2" s="1"/>
      <c r="D2" s="1"/>
      <c r="E2" s="1"/>
      <c r="F2" s="1"/>
      <c r="G2" s="1"/>
    </row>
    <row r="4" spans="1:7" ht="31.5" customHeight="1" x14ac:dyDescent="0.3">
      <c r="A4" s="6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</row>
    <row r="5" spans="1:7" ht="48" customHeight="1" x14ac:dyDescent="0.3">
      <c r="A5" s="7" t="s">
        <v>21</v>
      </c>
      <c r="B5" s="7" t="s">
        <v>22</v>
      </c>
      <c r="C5" s="7" t="s">
        <v>23</v>
      </c>
      <c r="D5" s="7" t="s">
        <v>24</v>
      </c>
      <c r="E5" s="7" t="s">
        <v>25</v>
      </c>
      <c r="F5" s="7" t="s">
        <v>26</v>
      </c>
      <c r="G5" s="7" t="s">
        <v>27</v>
      </c>
    </row>
    <row r="6" spans="1:7" ht="48" customHeight="1" x14ac:dyDescent="0.3">
      <c r="A6" s="4" t="s">
        <v>21</v>
      </c>
      <c r="B6" s="4" t="s">
        <v>28</v>
      </c>
      <c r="C6" s="4" t="s">
        <v>29</v>
      </c>
      <c r="D6" s="4" t="s">
        <v>30</v>
      </c>
      <c r="E6" s="4" t="s">
        <v>31</v>
      </c>
      <c r="F6" s="4" t="s">
        <v>32</v>
      </c>
      <c r="G6" s="4" t="s">
        <v>33</v>
      </c>
    </row>
    <row r="7" spans="1:7" ht="48" customHeight="1" x14ac:dyDescent="0.3">
      <c r="A7" s="7" t="s">
        <v>34</v>
      </c>
      <c r="B7" s="7" t="s">
        <v>35</v>
      </c>
      <c r="C7" s="7" t="s">
        <v>36</v>
      </c>
      <c r="D7" s="7" t="s">
        <v>37</v>
      </c>
      <c r="E7" s="7" t="s">
        <v>38</v>
      </c>
      <c r="F7" s="7" t="s">
        <v>39</v>
      </c>
      <c r="G7" s="7" t="s">
        <v>40</v>
      </c>
    </row>
    <row r="8" spans="1:7" ht="48" customHeight="1" x14ac:dyDescent="0.3">
      <c r="A8" s="4" t="s">
        <v>34</v>
      </c>
      <c r="B8" s="4" t="s">
        <v>41</v>
      </c>
      <c r="C8" s="4" t="s">
        <v>42</v>
      </c>
      <c r="D8" s="4" t="s">
        <v>30</v>
      </c>
      <c r="E8" s="4" t="s">
        <v>25</v>
      </c>
      <c r="F8" s="4" t="s">
        <v>43</v>
      </c>
      <c r="G8" s="4" t="s">
        <v>44</v>
      </c>
    </row>
    <row r="9" spans="1:7" ht="48" customHeight="1" x14ac:dyDescent="0.3">
      <c r="A9" s="7" t="s">
        <v>45</v>
      </c>
      <c r="B9" s="7" t="s">
        <v>46</v>
      </c>
      <c r="C9" s="7" t="s">
        <v>47</v>
      </c>
      <c r="D9" s="7" t="s">
        <v>48</v>
      </c>
      <c r="E9" s="7" t="s">
        <v>49</v>
      </c>
      <c r="F9" s="7" t="s">
        <v>50</v>
      </c>
      <c r="G9" s="7" t="s">
        <v>51</v>
      </c>
    </row>
    <row r="10" spans="1:7" ht="48" customHeight="1" x14ac:dyDescent="0.3">
      <c r="A10" s="4" t="s">
        <v>45</v>
      </c>
      <c r="B10" s="4" t="s">
        <v>52</v>
      </c>
      <c r="C10" s="4" t="s">
        <v>53</v>
      </c>
      <c r="D10" s="4" t="s">
        <v>54</v>
      </c>
      <c r="E10" s="4" t="s">
        <v>55</v>
      </c>
      <c r="F10" s="4" t="s">
        <v>50</v>
      </c>
      <c r="G10" s="4" t="s">
        <v>56</v>
      </c>
    </row>
    <row r="11" spans="1:7" ht="48" customHeight="1" x14ac:dyDescent="0.3">
      <c r="A11" s="7" t="s">
        <v>45</v>
      </c>
      <c r="B11" s="7" t="s">
        <v>57</v>
      </c>
      <c r="C11" s="7" t="s">
        <v>58</v>
      </c>
      <c r="D11" s="7" t="s">
        <v>30</v>
      </c>
      <c r="E11" s="7" t="s">
        <v>25</v>
      </c>
      <c r="F11" s="7" t="s">
        <v>43</v>
      </c>
      <c r="G11" s="7" t="s">
        <v>59</v>
      </c>
    </row>
    <row r="12" spans="1:7" ht="48" customHeight="1" x14ac:dyDescent="0.3">
      <c r="A12" s="4" t="s">
        <v>60</v>
      </c>
      <c r="B12" s="4" t="s">
        <v>61</v>
      </c>
      <c r="C12" s="4" t="s">
        <v>62</v>
      </c>
      <c r="D12" s="4" t="s">
        <v>63</v>
      </c>
      <c r="E12" s="4" t="s">
        <v>64</v>
      </c>
      <c r="F12" s="4" t="s">
        <v>50</v>
      </c>
      <c r="G12" s="4" t="s">
        <v>65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zoomScaleNormal="100" workbookViewId="0">
      <pane ySplit="4" topLeftCell="A6" activePane="bottomLeft" state="frozen"/>
      <selection pane="bottomLeft" sqref="A1:J1"/>
    </sheetView>
  </sheetViews>
  <sheetFormatPr defaultColWidth="8.6640625" defaultRowHeight="14.4" x14ac:dyDescent="0.3"/>
  <cols>
    <col min="1" max="1" width="10" customWidth="1"/>
    <col min="2" max="2" width="20" customWidth="1"/>
    <col min="3" max="3" width="22" customWidth="1"/>
    <col min="4" max="4" width="24" customWidth="1"/>
    <col min="5" max="5" width="20" customWidth="1"/>
    <col min="6" max="6" width="16" customWidth="1"/>
    <col min="7" max="8" width="14" customWidth="1"/>
    <col min="9" max="9" width="16" customWidth="1"/>
    <col min="10" max="10" width="28" customWidth="1"/>
  </cols>
  <sheetData>
    <row r="1" spans="1:10" ht="25.5" customHeight="1" x14ac:dyDescent="0.4">
      <c r="A1" s="2" t="s">
        <v>66</v>
      </c>
      <c r="B1" s="2"/>
      <c r="C1" s="2"/>
      <c r="D1" s="2"/>
      <c r="E1" s="2"/>
      <c r="F1" s="2"/>
      <c r="G1" s="2"/>
      <c r="H1" s="2"/>
      <c r="I1" s="2"/>
      <c r="J1" s="2"/>
    </row>
    <row r="2" spans="1:10" ht="18" customHeight="1" x14ac:dyDescent="0.3">
      <c r="A2" s="1" t="s">
        <v>67</v>
      </c>
      <c r="B2" s="1"/>
      <c r="C2" s="1"/>
      <c r="D2" s="1"/>
      <c r="E2" s="1"/>
      <c r="F2" s="1"/>
      <c r="G2" s="1"/>
      <c r="H2" s="1"/>
      <c r="I2" s="1"/>
      <c r="J2" s="1"/>
    </row>
    <row r="4" spans="1:10" ht="31.5" customHeight="1" x14ac:dyDescent="0.3">
      <c r="A4" s="6" t="s">
        <v>68</v>
      </c>
      <c r="B4" s="6" t="s">
        <v>69</v>
      </c>
      <c r="C4" s="6" t="s">
        <v>70</v>
      </c>
      <c r="D4" s="6" t="s">
        <v>71</v>
      </c>
      <c r="E4" s="6" t="s">
        <v>72</v>
      </c>
      <c r="F4" s="6" t="s">
        <v>73</v>
      </c>
      <c r="G4" s="6" t="s">
        <v>74</v>
      </c>
      <c r="H4" s="6" t="s">
        <v>75</v>
      </c>
      <c r="I4" s="6" t="s">
        <v>76</v>
      </c>
      <c r="J4" s="6" t="s">
        <v>77</v>
      </c>
    </row>
    <row r="5" spans="1:10" ht="30" customHeight="1" x14ac:dyDescent="0.3">
      <c r="A5" s="7" t="s">
        <v>78</v>
      </c>
      <c r="B5" s="7" t="s">
        <v>79</v>
      </c>
      <c r="C5" s="7" t="s">
        <v>80</v>
      </c>
      <c r="D5" s="7" t="s">
        <v>81</v>
      </c>
      <c r="E5" s="7" t="s">
        <v>82</v>
      </c>
      <c r="F5" s="7" t="s">
        <v>83</v>
      </c>
      <c r="G5" s="7" t="s">
        <v>84</v>
      </c>
      <c r="H5" s="8" t="s">
        <v>85</v>
      </c>
      <c r="I5" s="7" t="s">
        <v>86</v>
      </c>
      <c r="J5" s="7" t="s">
        <v>87</v>
      </c>
    </row>
    <row r="6" spans="1:10" ht="30" customHeight="1" x14ac:dyDescent="0.3">
      <c r="A6" s="4" t="s">
        <v>88</v>
      </c>
      <c r="B6" s="4" t="s">
        <v>89</v>
      </c>
      <c r="C6" s="4" t="s">
        <v>90</v>
      </c>
      <c r="D6" s="4" t="s">
        <v>91</v>
      </c>
      <c r="E6" s="4" t="s">
        <v>92</v>
      </c>
      <c r="F6" s="4" t="s">
        <v>83</v>
      </c>
      <c r="G6" s="4" t="s">
        <v>84</v>
      </c>
      <c r="H6" s="8" t="s">
        <v>85</v>
      </c>
      <c r="I6" s="4" t="s">
        <v>93</v>
      </c>
      <c r="J6" s="4" t="s">
        <v>94</v>
      </c>
    </row>
    <row r="7" spans="1:10" ht="30" customHeight="1" x14ac:dyDescent="0.3">
      <c r="A7" s="7" t="s">
        <v>95</v>
      </c>
      <c r="B7" s="7" t="s">
        <v>96</v>
      </c>
      <c r="C7" s="7" t="s">
        <v>97</v>
      </c>
      <c r="D7" s="7" t="s">
        <v>98</v>
      </c>
      <c r="E7" s="7" t="s">
        <v>99</v>
      </c>
      <c r="F7" s="7" t="s">
        <v>83</v>
      </c>
      <c r="G7" s="7" t="s">
        <v>100</v>
      </c>
      <c r="H7" s="9" t="s">
        <v>101</v>
      </c>
      <c r="I7" s="7" t="s">
        <v>102</v>
      </c>
      <c r="J7" s="7" t="s">
        <v>103</v>
      </c>
    </row>
    <row r="8" spans="1:10" ht="30" customHeight="1" x14ac:dyDescent="0.3">
      <c r="A8" s="4" t="s">
        <v>104</v>
      </c>
      <c r="B8" s="4" t="s">
        <v>105</v>
      </c>
      <c r="C8" s="4" t="s">
        <v>80</v>
      </c>
      <c r="D8" s="4" t="s">
        <v>106</v>
      </c>
      <c r="E8" s="4" t="s">
        <v>107</v>
      </c>
      <c r="F8" s="4" t="s">
        <v>83</v>
      </c>
      <c r="G8" s="4" t="s">
        <v>84</v>
      </c>
      <c r="H8" s="8" t="s">
        <v>85</v>
      </c>
      <c r="I8" s="4" t="s">
        <v>86</v>
      </c>
      <c r="J8" s="4" t="s">
        <v>108</v>
      </c>
    </row>
    <row r="9" spans="1:10" ht="30" customHeight="1" x14ac:dyDescent="0.3">
      <c r="A9" s="7" t="s">
        <v>109</v>
      </c>
      <c r="B9" s="7" t="s">
        <v>110</v>
      </c>
      <c r="C9" s="7" t="s">
        <v>90</v>
      </c>
      <c r="D9" s="7" t="s">
        <v>81</v>
      </c>
      <c r="E9" s="7" t="s">
        <v>82</v>
      </c>
      <c r="F9" s="7" t="s">
        <v>83</v>
      </c>
      <c r="G9" s="7" t="s">
        <v>100</v>
      </c>
      <c r="H9" s="9" t="s">
        <v>101</v>
      </c>
      <c r="I9" s="7" t="s">
        <v>93</v>
      </c>
      <c r="J9" s="7" t="s">
        <v>111</v>
      </c>
    </row>
    <row r="10" spans="1:10" ht="30" customHeight="1" x14ac:dyDescent="0.3">
      <c r="A10" s="4" t="s">
        <v>112</v>
      </c>
      <c r="B10" s="4" t="s">
        <v>113</v>
      </c>
      <c r="C10" s="4" t="s">
        <v>114</v>
      </c>
      <c r="D10" s="4" t="s">
        <v>115</v>
      </c>
      <c r="E10" s="4" t="s">
        <v>116</v>
      </c>
      <c r="F10" s="4" t="s">
        <v>83</v>
      </c>
      <c r="G10" s="4" t="s">
        <v>84</v>
      </c>
      <c r="H10" s="8" t="s">
        <v>85</v>
      </c>
      <c r="I10" s="4" t="s">
        <v>117</v>
      </c>
      <c r="J10" s="4" t="s">
        <v>118</v>
      </c>
    </row>
    <row r="11" spans="1:10" ht="30" customHeight="1" x14ac:dyDescent="0.3">
      <c r="A11" s="7" t="s">
        <v>119</v>
      </c>
      <c r="B11" s="7" t="s">
        <v>120</v>
      </c>
      <c r="C11" s="7" t="s">
        <v>97</v>
      </c>
      <c r="D11" s="7" t="s">
        <v>98</v>
      </c>
      <c r="E11" s="7" t="s">
        <v>121</v>
      </c>
      <c r="F11" s="7" t="s">
        <v>83</v>
      </c>
      <c r="G11" s="7" t="s">
        <v>84</v>
      </c>
      <c r="H11" s="8" t="s">
        <v>85</v>
      </c>
      <c r="I11" s="7" t="s">
        <v>102</v>
      </c>
      <c r="J11" s="7" t="s">
        <v>122</v>
      </c>
    </row>
    <row r="12" spans="1:10" ht="30" customHeight="1" x14ac:dyDescent="0.3">
      <c r="A12" s="4" t="s">
        <v>123</v>
      </c>
      <c r="B12" s="4" t="s">
        <v>124</v>
      </c>
      <c r="C12" s="4" t="s">
        <v>90</v>
      </c>
      <c r="D12" s="4" t="s">
        <v>125</v>
      </c>
      <c r="E12" s="4" t="s">
        <v>92</v>
      </c>
      <c r="F12" s="4" t="s">
        <v>83</v>
      </c>
      <c r="G12" s="4" t="s">
        <v>100</v>
      </c>
      <c r="H12" s="10" t="s">
        <v>126</v>
      </c>
      <c r="I12" s="4" t="s">
        <v>93</v>
      </c>
      <c r="J12" s="4" t="s">
        <v>127</v>
      </c>
    </row>
    <row r="13" spans="1:10" ht="30" customHeight="1" x14ac:dyDescent="0.3">
      <c r="A13" s="7" t="s">
        <v>128</v>
      </c>
      <c r="B13" s="7" t="s">
        <v>129</v>
      </c>
      <c r="C13" s="7" t="s">
        <v>80</v>
      </c>
      <c r="D13" s="7" t="s">
        <v>81</v>
      </c>
      <c r="E13" s="7" t="s">
        <v>82</v>
      </c>
      <c r="F13" s="7" t="s">
        <v>83</v>
      </c>
      <c r="G13" s="7" t="s">
        <v>84</v>
      </c>
      <c r="H13" s="8" t="s">
        <v>85</v>
      </c>
      <c r="I13" s="7" t="s">
        <v>86</v>
      </c>
      <c r="J13" s="7" t="s">
        <v>87</v>
      </c>
    </row>
    <row r="14" spans="1:10" ht="30" customHeight="1" x14ac:dyDescent="0.3">
      <c r="A14" s="4" t="s">
        <v>130</v>
      </c>
      <c r="B14" s="4" t="s">
        <v>131</v>
      </c>
      <c r="C14" s="4" t="s">
        <v>97</v>
      </c>
      <c r="D14" s="4" t="s">
        <v>98</v>
      </c>
      <c r="E14" s="4" t="s">
        <v>99</v>
      </c>
      <c r="F14" s="4" t="s">
        <v>83</v>
      </c>
      <c r="G14" s="4" t="s">
        <v>84</v>
      </c>
      <c r="H14" s="8" t="s">
        <v>85</v>
      </c>
      <c r="I14" s="4" t="s">
        <v>102</v>
      </c>
      <c r="J14" s="4" t="s">
        <v>132</v>
      </c>
    </row>
    <row r="17" spans="1:2" ht="15.6" x14ac:dyDescent="0.3">
      <c r="A17" s="11" t="s">
        <v>133</v>
      </c>
    </row>
    <row r="18" spans="1:2" x14ac:dyDescent="0.3">
      <c r="A18" s="12" t="s">
        <v>134</v>
      </c>
      <c r="B18">
        <f>COUNTA(A5:A14)</f>
        <v>10</v>
      </c>
    </row>
    <row r="19" spans="1:2" x14ac:dyDescent="0.3">
      <c r="A19" s="12" t="s">
        <v>135</v>
      </c>
      <c r="B19">
        <f>COUNTIF(H5:H14,"Certified")</f>
        <v>7</v>
      </c>
    </row>
    <row r="20" spans="1:2" x14ac:dyDescent="0.3">
      <c r="A20" s="12" t="s">
        <v>136</v>
      </c>
      <c r="B20">
        <f>COUNTIF(H5:H14,"Revoke")+COUNTIF(H5:H14,"Revoke - Excessive")</f>
        <v>3</v>
      </c>
    </row>
  </sheetData>
  <mergeCells count="2">
    <mergeCell ref="A1:J1"/>
    <mergeCell ref="A2:J2"/>
  </mergeCells>
  <dataValidations count="1">
    <dataValidation type="list" sqref="H5:H14" xr:uid="{00000000-0002-0000-0200-000000000000}">
      <formula1>"Certified,Revoke,Revoke - Excessive,Modify"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zoomScaleNormal="100" workbookViewId="0">
      <selection sqref="A1:H1"/>
    </sheetView>
  </sheetViews>
  <sheetFormatPr defaultColWidth="8.6640625" defaultRowHeight="14.4" x14ac:dyDescent="0.3"/>
  <cols>
    <col min="1" max="1" width="22" customWidth="1"/>
    <col min="2" max="7" width="16" customWidth="1"/>
    <col min="8" max="8" width="30" customWidth="1"/>
  </cols>
  <sheetData>
    <row r="1" spans="1:8" ht="25.5" customHeight="1" x14ac:dyDescent="0.4">
      <c r="A1" s="2" t="s">
        <v>137</v>
      </c>
      <c r="B1" s="2"/>
      <c r="C1" s="2"/>
      <c r="D1" s="2"/>
      <c r="E1" s="2"/>
      <c r="F1" s="2"/>
      <c r="G1" s="2"/>
      <c r="H1" s="2"/>
    </row>
    <row r="2" spans="1:8" ht="18" customHeight="1" x14ac:dyDescent="0.3">
      <c r="A2" s="1" t="s">
        <v>138</v>
      </c>
      <c r="B2" s="1"/>
      <c r="C2" s="1"/>
      <c r="D2" s="1"/>
      <c r="E2" s="1"/>
      <c r="F2" s="1"/>
      <c r="G2" s="1"/>
      <c r="H2" s="1"/>
    </row>
    <row r="4" spans="1:8" ht="31.5" customHeight="1" x14ac:dyDescent="0.3">
      <c r="A4" s="6" t="s">
        <v>139</v>
      </c>
      <c r="B4" s="6" t="s">
        <v>140</v>
      </c>
      <c r="C4" s="6" t="s">
        <v>141</v>
      </c>
      <c r="D4" s="6" t="s">
        <v>142</v>
      </c>
      <c r="E4" s="6" t="s">
        <v>106</v>
      </c>
      <c r="F4" s="6" t="s">
        <v>143</v>
      </c>
      <c r="G4" s="6" t="s">
        <v>144</v>
      </c>
      <c r="H4" s="6" t="s">
        <v>145</v>
      </c>
    </row>
    <row r="5" spans="1:8" ht="30" customHeight="1" x14ac:dyDescent="0.3">
      <c r="A5" s="13" t="s">
        <v>146</v>
      </c>
      <c r="B5" s="14" t="s">
        <v>147</v>
      </c>
      <c r="C5" s="14" t="s">
        <v>148</v>
      </c>
      <c r="D5" s="15" t="s">
        <v>149</v>
      </c>
      <c r="E5" s="15" t="s">
        <v>149</v>
      </c>
      <c r="F5" s="15" t="s">
        <v>149</v>
      </c>
      <c r="G5" s="15" t="s">
        <v>149</v>
      </c>
      <c r="H5" s="13" t="s">
        <v>150</v>
      </c>
    </row>
    <row r="6" spans="1:8" ht="30" customHeight="1" x14ac:dyDescent="0.3">
      <c r="A6" s="16" t="s">
        <v>151</v>
      </c>
      <c r="B6" s="14" t="s">
        <v>147</v>
      </c>
      <c r="C6" s="14" t="s">
        <v>148</v>
      </c>
      <c r="D6" s="15" t="s">
        <v>149</v>
      </c>
      <c r="E6" s="14" t="s">
        <v>152</v>
      </c>
      <c r="F6" s="15" t="s">
        <v>149</v>
      </c>
      <c r="G6" s="15" t="s">
        <v>149</v>
      </c>
      <c r="H6" s="16" t="s">
        <v>153</v>
      </c>
    </row>
    <row r="7" spans="1:8" ht="30" customHeight="1" x14ac:dyDescent="0.3">
      <c r="A7" s="13" t="s">
        <v>99</v>
      </c>
      <c r="B7" s="14" t="s">
        <v>147</v>
      </c>
      <c r="C7" s="15" t="s">
        <v>149</v>
      </c>
      <c r="D7" s="14" t="s">
        <v>148</v>
      </c>
      <c r="E7" s="15" t="s">
        <v>149</v>
      </c>
      <c r="F7" s="15" t="s">
        <v>149</v>
      </c>
      <c r="G7" s="14" t="s">
        <v>152</v>
      </c>
      <c r="H7" s="13" t="s">
        <v>154</v>
      </c>
    </row>
    <row r="8" spans="1:8" ht="30" customHeight="1" x14ac:dyDescent="0.3">
      <c r="A8" s="16" t="s">
        <v>121</v>
      </c>
      <c r="B8" s="14" t="s">
        <v>147</v>
      </c>
      <c r="C8" s="15" t="s">
        <v>149</v>
      </c>
      <c r="D8" s="17" t="s">
        <v>155</v>
      </c>
      <c r="E8" s="15" t="s">
        <v>149</v>
      </c>
      <c r="F8" s="15" t="s">
        <v>149</v>
      </c>
      <c r="G8" s="14" t="s">
        <v>148</v>
      </c>
      <c r="H8" s="16" t="s">
        <v>156</v>
      </c>
    </row>
    <row r="9" spans="1:8" ht="30" customHeight="1" x14ac:dyDescent="0.3">
      <c r="A9" s="13" t="s">
        <v>157</v>
      </c>
      <c r="B9" s="14" t="s">
        <v>147</v>
      </c>
      <c r="C9" s="15" t="s">
        <v>149</v>
      </c>
      <c r="D9" s="15" t="s">
        <v>149</v>
      </c>
      <c r="E9" s="15" t="s">
        <v>149</v>
      </c>
      <c r="F9" s="14" t="s">
        <v>158</v>
      </c>
      <c r="G9" s="15" t="s">
        <v>149</v>
      </c>
      <c r="H9" s="13" t="s">
        <v>159</v>
      </c>
    </row>
    <row r="10" spans="1:8" ht="30" customHeight="1" x14ac:dyDescent="0.3">
      <c r="A10" s="16" t="s">
        <v>160</v>
      </c>
      <c r="B10" s="17" t="s">
        <v>161</v>
      </c>
      <c r="C10" s="15" t="s">
        <v>149</v>
      </c>
      <c r="D10" s="15" t="s">
        <v>149</v>
      </c>
      <c r="E10" s="17" t="s">
        <v>162</v>
      </c>
      <c r="F10" s="17" t="s">
        <v>162</v>
      </c>
      <c r="G10" s="15" t="s">
        <v>149</v>
      </c>
      <c r="H10" s="16" t="s">
        <v>163</v>
      </c>
    </row>
    <row r="11" spans="1:8" ht="30" customHeight="1" x14ac:dyDescent="0.3">
      <c r="A11" s="13" t="s">
        <v>116</v>
      </c>
      <c r="B11" s="14" t="s">
        <v>164</v>
      </c>
      <c r="C11" s="15" t="s">
        <v>149</v>
      </c>
      <c r="D11" s="15" t="s">
        <v>149</v>
      </c>
      <c r="E11" s="15" t="s">
        <v>149</v>
      </c>
      <c r="F11" s="15" t="s">
        <v>149</v>
      </c>
      <c r="G11" s="15" t="s">
        <v>149</v>
      </c>
      <c r="H11" s="13" t="s">
        <v>165</v>
      </c>
    </row>
    <row r="12" spans="1:8" ht="30" customHeight="1" x14ac:dyDescent="0.3">
      <c r="A12" s="16" t="s">
        <v>107</v>
      </c>
      <c r="B12" s="14" t="s">
        <v>147</v>
      </c>
      <c r="C12" s="15" t="s">
        <v>149</v>
      </c>
      <c r="D12" s="15" t="s">
        <v>149</v>
      </c>
      <c r="E12" s="17" t="s">
        <v>162</v>
      </c>
      <c r="F12" s="15" t="s">
        <v>149</v>
      </c>
      <c r="G12" s="15" t="s">
        <v>149</v>
      </c>
      <c r="H12" s="16" t="s">
        <v>166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zoomScaleNormal="100" workbookViewId="0">
      <selection sqref="A1:F1"/>
    </sheetView>
  </sheetViews>
  <sheetFormatPr defaultColWidth="8.6640625" defaultRowHeight="14.4" x14ac:dyDescent="0.3"/>
  <cols>
    <col min="1" max="2" width="26" customWidth="1"/>
    <col min="3" max="3" width="12" customWidth="1"/>
    <col min="4" max="4" width="36" customWidth="1"/>
    <col min="5" max="5" width="18" customWidth="1"/>
    <col min="6" max="6" width="10" customWidth="1"/>
  </cols>
  <sheetData>
    <row r="1" spans="1:6" ht="25.5" customHeight="1" x14ac:dyDescent="0.4">
      <c r="A1" s="2" t="s">
        <v>167</v>
      </c>
      <c r="B1" s="2"/>
      <c r="C1" s="2"/>
      <c r="D1" s="2"/>
      <c r="E1" s="2"/>
      <c r="F1" s="2"/>
    </row>
    <row r="2" spans="1:6" ht="18" customHeight="1" x14ac:dyDescent="0.3">
      <c r="A2" s="1" t="s">
        <v>168</v>
      </c>
      <c r="B2" s="1"/>
      <c r="C2" s="1"/>
      <c r="D2" s="1"/>
      <c r="E2" s="1"/>
      <c r="F2" s="1"/>
    </row>
    <row r="4" spans="1:6" ht="31.5" customHeight="1" x14ac:dyDescent="0.3">
      <c r="A4" s="6" t="s">
        <v>169</v>
      </c>
      <c r="B4" s="6" t="s">
        <v>170</v>
      </c>
      <c r="C4" s="6" t="s">
        <v>171</v>
      </c>
      <c r="D4" s="6" t="s">
        <v>172</v>
      </c>
      <c r="E4" s="6" t="s">
        <v>173</v>
      </c>
      <c r="F4" s="6" t="s">
        <v>174</v>
      </c>
    </row>
    <row r="5" spans="1:6" ht="49.5" customHeight="1" x14ac:dyDescent="0.3">
      <c r="A5" s="7" t="s">
        <v>175</v>
      </c>
      <c r="B5" s="7" t="s">
        <v>176</v>
      </c>
      <c r="C5" s="10" t="s">
        <v>84</v>
      </c>
      <c r="D5" s="7" t="s">
        <v>177</v>
      </c>
      <c r="E5" s="7" t="s">
        <v>178</v>
      </c>
      <c r="F5" s="10" t="s">
        <v>179</v>
      </c>
    </row>
    <row r="6" spans="1:6" ht="49.5" customHeight="1" x14ac:dyDescent="0.3">
      <c r="A6" s="4" t="s">
        <v>160</v>
      </c>
      <c r="B6" s="4" t="s">
        <v>141</v>
      </c>
      <c r="C6" s="10" t="s">
        <v>84</v>
      </c>
      <c r="D6" s="4" t="s">
        <v>180</v>
      </c>
      <c r="E6" s="4" t="s">
        <v>181</v>
      </c>
      <c r="F6" s="10" t="s">
        <v>179</v>
      </c>
    </row>
    <row r="7" spans="1:6" ht="49.5" customHeight="1" x14ac:dyDescent="0.3">
      <c r="A7" s="7" t="s">
        <v>182</v>
      </c>
      <c r="B7" s="7" t="s">
        <v>106</v>
      </c>
      <c r="C7" s="10" t="s">
        <v>84</v>
      </c>
      <c r="D7" s="7" t="s">
        <v>183</v>
      </c>
      <c r="E7" s="7" t="s">
        <v>184</v>
      </c>
      <c r="F7" s="10" t="s">
        <v>179</v>
      </c>
    </row>
    <row r="8" spans="1:6" ht="49.5" customHeight="1" x14ac:dyDescent="0.3">
      <c r="A8" s="4" t="s">
        <v>99</v>
      </c>
      <c r="B8" s="4" t="s">
        <v>185</v>
      </c>
      <c r="C8" s="8" t="s">
        <v>100</v>
      </c>
      <c r="D8" s="4" t="s">
        <v>186</v>
      </c>
      <c r="E8" s="4" t="s">
        <v>187</v>
      </c>
      <c r="F8" s="8" t="s">
        <v>188</v>
      </c>
    </row>
    <row r="9" spans="1:6" ht="49.5" customHeight="1" x14ac:dyDescent="0.3">
      <c r="A9" s="7" t="s">
        <v>161</v>
      </c>
      <c r="B9" s="7" t="s">
        <v>189</v>
      </c>
      <c r="C9" s="10" t="s">
        <v>84</v>
      </c>
      <c r="D9" s="7" t="s">
        <v>190</v>
      </c>
      <c r="E9" s="7" t="s">
        <v>191</v>
      </c>
      <c r="F9" s="9" t="s">
        <v>192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JML Lifecycle Process</vt:lpstr>
      <vt:lpstr>Access Review Tracker</vt:lpstr>
      <vt:lpstr>Least-Privilege Access Matrix</vt:lpstr>
      <vt:lpstr>SoD Conflict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Saleh Abdu</cp:lastModifiedBy>
  <cp:revision>0</cp:revision>
  <dcterms:created xsi:type="dcterms:W3CDTF">2026-06-19T21:24:16Z</dcterms:created>
  <dcterms:modified xsi:type="dcterms:W3CDTF">2026-10-13T19:24:01Z</dcterms:modified>
  <dc:language>en-US</dc:language>
</cp:coreProperties>
</file>